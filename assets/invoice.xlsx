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Print_Area" localSheetId="0">'Sheet2'!$A$3:$J$50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rgb="FFFF0000"/>
      <sz val="14"/>
      <scheme val="minor"/>
    </font>
  </fonts>
  <fills count="2">
    <fill>
      <patternFill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91">
    <xf numFmtId="0" fontId="0" fillId="0" borderId="0" pivotButton="0" quotePrefix="0" xfId="0"/>
    <xf numFmtId="0" fontId="2" fillId="0" borderId="5" pivotButton="0" quotePrefix="0" xfId="0"/>
    <xf numFmtId="0" fontId="2" fillId="0" borderId="0" pivotButton="0" quotePrefix="0" xfId="0"/>
    <xf numFmtId="0" fontId="2" fillId="0" borderId="6" pivotButton="0" quotePrefix="0" xfId="0"/>
    <xf numFmtId="0" fontId="2" fillId="0" borderId="26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24" applyAlignment="1" pivotButton="0" quotePrefix="0" xfId="1">
      <alignment horizontal="center"/>
    </xf>
    <xf numFmtId="164" fontId="3" fillId="0" borderId="21" applyAlignment="1" pivotButton="0" quotePrefix="0" xfId="1">
      <alignment horizontal="center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2" applyAlignment="1" pivotButton="0" quotePrefix="0" xfId="0">
      <alignment horizontal="center" wrapText="1"/>
    </xf>
    <xf numFmtId="0" fontId="3" fillId="0" borderId="3" applyAlignment="1" pivotButton="0" quotePrefix="0" xfId="0">
      <alignment horizontal="center" wrapText="1"/>
    </xf>
    <xf numFmtId="0" fontId="4" fillId="0" borderId="26" pivotButton="0" quotePrefix="0" xfId="0"/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7" fillId="0" borderId="26" pivotButton="0" quotePrefix="0" xfId="0"/>
    <xf numFmtId="0" fontId="7" fillId="0" borderId="12" pivotButton="0" quotePrefix="0" xfId="0"/>
    <xf numFmtId="0" fontId="7" fillId="0" borderId="1" pivotButton="0" quotePrefix="0" xfId="0"/>
    <xf numFmtId="164" fontId="7" fillId="0" borderId="20" applyAlignment="1" pivotButton="0" quotePrefix="0" xfId="1">
      <alignment horizontal="center"/>
    </xf>
    <xf numFmtId="0" fontId="3" fillId="0" borderId="16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164" fontId="3" fillId="0" borderId="36" applyAlignment="1" pivotButton="0" quotePrefix="0" xfId="1">
      <alignment horizontal="center"/>
    </xf>
    <xf numFmtId="0" fontId="5" fillId="0" borderId="0" pivotButton="0" quotePrefix="0" xfId="0"/>
    <xf numFmtId="0" fontId="8" fillId="0" borderId="0" pivotButton="0" quotePrefix="0" xfId="0"/>
    <xf numFmtId="0" fontId="3" fillId="0" borderId="28" applyAlignment="1" pivotButton="0" quotePrefix="0" xfId="0">
      <alignment horizontal="center" vertical="center"/>
    </xf>
    <xf numFmtId="164" fontId="4" fillId="0" borderId="32" applyAlignment="1" pivotButton="0" quotePrefix="0" xfId="1">
      <alignment horizontal="center"/>
    </xf>
    <xf numFmtId="164" fontId="4" fillId="0" borderId="18" applyAlignment="1" pivotButton="0" quotePrefix="0" xfId="0">
      <alignment horizontal="center"/>
    </xf>
    <xf numFmtId="0" fontId="3" fillId="0" borderId="31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/>
    </xf>
    <xf numFmtId="164" fontId="3" fillId="0" borderId="32" applyAlignment="1" pivotButton="0" quotePrefix="0" xfId="0">
      <alignment horizontal="center"/>
    </xf>
    <xf numFmtId="164" fontId="3" fillId="0" borderId="35" applyAlignment="1" pivotButton="0" quotePrefix="0" xfId="0">
      <alignment horizontal="center"/>
    </xf>
    <xf numFmtId="0" fontId="3" fillId="0" borderId="2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/>
    </xf>
    <xf numFmtId="164" fontId="4" fillId="0" borderId="4" applyAlignment="1" pivotButton="0" quotePrefix="0" xfId="1">
      <alignment horizontal="center"/>
    </xf>
    <xf numFmtId="0" fontId="4" fillId="0" borderId="43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2" fillId="0" borderId="44" applyAlignment="1" pivotButton="0" quotePrefix="0" xfId="0">
      <alignment horizontal="center"/>
    </xf>
    <xf numFmtId="165" fontId="3" fillId="0" borderId="28" applyAlignment="1" pivotButton="0" quotePrefix="0" xfId="0">
      <alignment horizontal="center"/>
    </xf>
    <xf numFmtId="2" fontId="2" fillId="0" borderId="43" applyAlignment="1" pivotButton="0" quotePrefix="0" xfId="0">
      <alignment horizontal="center"/>
    </xf>
    <xf numFmtId="165" fontId="3" fillId="0" borderId="43" applyAlignment="1" pivotButton="0" quotePrefix="0" xfId="0">
      <alignment horizontal="center"/>
    </xf>
    <xf numFmtId="164" fontId="4" fillId="0" borderId="28" applyAlignment="1" pivotButton="0" quotePrefix="0" xfId="1">
      <alignment horizontal="center"/>
    </xf>
    <xf numFmtId="0" fontId="2" fillId="0" borderId="12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3" fillId="0" borderId="26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19" applyAlignment="1" pivotButton="0" quotePrefix="0" xfId="1">
      <alignment horizontal="center"/>
    </xf>
    <xf numFmtId="164" fontId="4" fillId="0" borderId="24" applyAlignment="1" pivotButton="0" quotePrefix="0" xfId="1">
      <alignment horizontal="center"/>
    </xf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/>
    </xf>
    <xf numFmtId="0" fontId="3" fillId="0" borderId="40" applyAlignment="1" pivotButton="0" quotePrefix="0" xfId="0">
      <alignment horizontal="center"/>
    </xf>
    <xf numFmtId="0" fontId="3" fillId="0" borderId="3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 wrapText="1"/>
    </xf>
    <xf numFmtId="0" fontId="4" fillId="0" borderId="12" applyAlignment="1" pivotButton="0" quotePrefix="0" xfId="0">
      <alignment horizontal="center" wrapText="1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5" pivotButton="0" quotePrefix="0" xfId="0"/>
    <xf numFmtId="0" fontId="3" fillId="0" borderId="0" pivotButton="0" quotePrefix="0" xfId="0"/>
    <xf numFmtId="0" fontId="4" fillId="0" borderId="5" pivotButton="0" quotePrefix="0" xfId="0"/>
    <xf numFmtId="0" fontId="4" fillId="0" borderId="0" pivotButton="0" quotePrefix="0" xfId="0"/>
    <xf numFmtId="0" fontId="4" fillId="0" borderId="6" pivotButton="0" quotePrefix="0" xfId="0"/>
    <xf numFmtId="0" fontId="3" fillId="0" borderId="5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6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5" fillId="0" borderId="2" pivotButton="0" quotePrefix="0" xfId="0"/>
    <xf numFmtId="0" fontId="5" fillId="0" borderId="3" pivotButton="0" quotePrefix="0" xfId="0"/>
    <xf numFmtId="0" fontId="3" fillId="0" borderId="2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4" fillId="0" borderId="2" pivotButton="0" quotePrefix="0" xfId="0"/>
    <xf numFmtId="0" fontId="4" fillId="0" borderId="3" pivotButton="0" quotePrefix="0" xfId="0"/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164" fontId="4" fillId="0" borderId="22" applyAlignment="1" pivotButton="0" quotePrefix="0" xfId="1">
      <alignment horizontal="center"/>
    </xf>
    <xf numFmtId="164" fontId="4" fillId="0" borderId="25" applyAlignment="1" pivotButton="0" quotePrefix="0" xfId="1">
      <alignment horizontal="center"/>
    </xf>
    <xf numFmtId="164" fontId="4" fillId="0" borderId="39" applyAlignment="1" pivotButton="0" quotePrefix="0" xfId="1">
      <alignment horizontal="center"/>
    </xf>
    <xf numFmtId="164" fontId="4" fillId="0" borderId="40" applyAlignment="1" pivotButton="0" quotePrefix="0" xfId="1">
      <alignment horizontal="center"/>
    </xf>
    <xf numFmtId="164" fontId="4" fillId="0" borderId="41" applyAlignment="1" pivotButton="0" quotePrefix="0" xfId="0">
      <alignment horizontal="center"/>
    </xf>
    <xf numFmtId="164" fontId="4" fillId="0" borderId="42" applyAlignment="1" pivotButton="0" quotePrefix="0" xfId="0">
      <alignment horizontal="center"/>
    </xf>
    <xf numFmtId="0" fontId="3" fillId="0" borderId="26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3" fillId="0" borderId="20" applyAlignment="1" pivotButton="0" quotePrefix="0" xfId="0">
      <alignment horizontal="center" vertical="top" wrapText="1"/>
    </xf>
    <xf numFmtId="0" fontId="3" fillId="0" borderId="1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164" fontId="4" fillId="0" borderId="30" applyAlignment="1" pivotButton="0" quotePrefix="0" xfId="1">
      <alignment horizontal="center"/>
    </xf>
    <xf numFmtId="164" fontId="4" fillId="0" borderId="34" applyAlignment="1" pivotButton="0" quotePrefix="0" xfId="1">
      <alignment horizontal="center"/>
    </xf>
    <xf numFmtId="0" fontId="6" fillId="0" borderId="28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7" pivotButton="0" quotePrefix="0" xfId="0"/>
    <xf numFmtId="0" fontId="0" fillId="0" borderId="9" pivotButton="0" quotePrefix="0" xfId="0"/>
    <xf numFmtId="0" fontId="4" fillId="0" borderId="1" applyAlignment="1" pivotButton="0" quotePrefix="0" xfId="0">
      <alignment vertical="center" wrapText="1"/>
    </xf>
    <xf numFmtId="0" fontId="0" fillId="0" borderId="8" pivotButton="0" quotePrefix="0" xfId="0"/>
    <xf numFmtId="0" fontId="4" fillId="0" borderId="28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43" pivotButton="0" quotePrefix="0" xfId="0"/>
    <xf numFmtId="0" fontId="3" fillId="0" borderId="43" applyAlignment="1" pivotButton="0" quotePrefix="0" xfId="0">
      <alignment vertical="top"/>
    </xf>
    <xf numFmtId="0" fontId="0" fillId="0" borderId="12" pivotButton="0" quotePrefix="0" xfId="0"/>
    <xf numFmtId="0" fontId="0" fillId="0" borderId="20" pivotButton="0" quotePrefix="0" xfId="0"/>
    <xf numFmtId="0" fontId="3" fillId="0" borderId="1" applyAlignment="1" pivotButton="0" quotePrefix="0" xfId="0">
      <alignment horizontal="left" vertical="center"/>
    </xf>
    <xf numFmtId="164" fontId="4" fillId="0" borderId="28" applyAlignment="1" pivotButton="0" quotePrefix="0" xfId="1">
      <alignment horizontal="center"/>
    </xf>
    <xf numFmtId="164" fontId="4" fillId="0" borderId="4" applyAlignment="1" pivotButton="0" quotePrefix="0" xfId="1">
      <alignment horizontal="center"/>
    </xf>
    <xf numFmtId="165" fontId="3" fillId="0" borderId="28" applyAlignment="1" pivotButton="0" quotePrefix="0" xfId="0">
      <alignment horizontal="center"/>
    </xf>
    <xf numFmtId="165" fontId="3" fillId="0" borderId="4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0" fillId="0" borderId="18" pivotButton="0" quotePrefix="0" xfId="0"/>
    <xf numFmtId="164" fontId="4" fillId="0" borderId="18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164" fontId="4" fillId="0" borderId="21" applyAlignment="1" pivotButton="0" quotePrefix="0" xfId="1">
      <alignment horizontal="center"/>
    </xf>
    <xf numFmtId="0" fontId="0" fillId="0" borderId="24" pivotButton="0" quotePrefix="0" xfId="0"/>
    <xf numFmtId="0" fontId="4" fillId="0" borderId="36" applyAlignment="1" pivotButton="0" quotePrefix="0" xfId="0">
      <alignment horizontal="center"/>
    </xf>
    <xf numFmtId="0" fontId="0" fillId="0" borderId="25" pivotButton="0" quotePrefix="0" xfId="0"/>
    <xf numFmtId="164" fontId="4" fillId="0" borderId="36" applyAlignment="1" pivotButton="0" quotePrefix="0" xfId="1">
      <alignment horizontal="center"/>
    </xf>
    <xf numFmtId="164" fontId="4" fillId="0" borderId="24" applyAlignment="1" pivotButton="0" quotePrefix="0" xfId="1">
      <alignment horizontal="center"/>
    </xf>
    <xf numFmtId="164" fontId="7" fillId="0" borderId="20" applyAlignment="1" pivotButton="0" quotePrefix="0" xfId="1">
      <alignment horizontal="center"/>
    </xf>
    <xf numFmtId="0" fontId="4" fillId="0" borderId="28" applyAlignment="1" pivotButton="0" quotePrefix="0" xfId="0">
      <alignment wrapText="1"/>
    </xf>
    <xf numFmtId="0" fontId="3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47" pivotButton="0" quotePrefix="0" xfId="0"/>
    <xf numFmtId="0" fontId="0" fillId="0" borderId="10" pivotButton="0" quotePrefix="0" xfId="0"/>
    <xf numFmtId="164" fontId="4" fillId="0" borderId="30" applyAlignment="1" pivotButton="0" quotePrefix="0" xfId="1">
      <alignment horizontal="center"/>
    </xf>
    <xf numFmtId="164" fontId="3" fillId="0" borderId="32" applyAlignment="1" pivotButton="0" quotePrefix="0" xfId="0">
      <alignment horizontal="center"/>
    </xf>
    <xf numFmtId="164" fontId="4" fillId="0" borderId="39" applyAlignment="1" pivotButton="0" quotePrefix="0" xfId="1">
      <alignment horizontal="center"/>
    </xf>
    <xf numFmtId="164" fontId="3" fillId="0" borderId="21" applyAlignment="1" pivotButton="0" quotePrefix="0" xfId="1">
      <alignment horizontal="center"/>
    </xf>
    <xf numFmtId="164" fontId="4" fillId="0" borderId="32" applyAlignment="1" pivotButton="0" quotePrefix="0" xfId="1">
      <alignment horizontal="center"/>
    </xf>
    <xf numFmtId="0" fontId="0" fillId="0" borderId="27" pivotButton="0" quotePrefix="0" xfId="0"/>
    <xf numFmtId="164" fontId="4" fillId="0" borderId="34" applyAlignment="1" pivotButton="0" quotePrefix="0" xfId="1">
      <alignment horizontal="center"/>
    </xf>
    <xf numFmtId="0" fontId="0" fillId="0" borderId="48" pivotButton="0" quotePrefix="0" xfId="0"/>
    <xf numFmtId="164" fontId="3" fillId="0" borderId="35" applyAlignment="1" pivotButton="0" quotePrefix="0" xfId="0">
      <alignment horizontal="center"/>
    </xf>
    <xf numFmtId="164" fontId="4" fillId="0" borderId="41" applyAlignment="1" pivotButton="0" quotePrefix="0" xfId="0">
      <alignment horizontal="center"/>
    </xf>
    <xf numFmtId="164" fontId="3" fillId="0" borderId="36" applyAlignment="1" pivotButton="0" quotePrefix="0" xfId="1">
      <alignment horizontal="center"/>
    </xf>
    <xf numFmtId="0" fontId="3" fillId="0" borderId="1" applyAlignment="1" pivotButton="0" quotePrefix="0" xfId="0">
      <alignment horizontal="center" vertical="top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N50"/>
  <sheetViews>
    <sheetView tabSelected="1" workbookViewId="0">
      <selection activeCell="E22" sqref="E22"/>
    </sheetView>
  </sheetViews>
  <sheetFormatPr baseColWidth="8" defaultRowHeight="15"/>
  <cols>
    <col width="18" customWidth="1" min="5" max="5"/>
    <col width="1.42578125" customWidth="1" min="6" max="6"/>
    <col width="17" customWidth="1" min="7" max="7"/>
    <col width="28.28515625" customWidth="1" min="9" max="9"/>
    <col width="19" customWidth="1" min="10" max="10"/>
  </cols>
  <sheetData>
    <row r="2" ht="15.75" customHeight="1" thickBot="1"/>
    <row r="3" ht="27" customHeight="1" thickBot="1">
      <c r="A3" s="137" t="inlineStr">
        <is>
          <t xml:space="preserve">                                                          TAX INVOICE</t>
        </is>
      </c>
      <c r="B3" s="138" t="n"/>
      <c r="C3" s="138" t="n"/>
      <c r="D3" s="138" t="n"/>
      <c r="E3" s="138" t="n"/>
      <c r="F3" s="138" t="n"/>
      <c r="G3" s="138" t="n"/>
      <c r="H3" s="138" t="n"/>
      <c r="I3" s="138" t="n"/>
      <c r="J3" s="139" t="n"/>
    </row>
    <row r="4" ht="23.25" customHeight="1">
      <c r="A4" s="96" t="inlineStr">
        <is>
          <t>SRI MANIKANTA SWAMY AGROS</t>
        </is>
      </c>
      <c r="B4" s="138" t="n"/>
      <c r="C4" s="138" t="n"/>
      <c r="D4" s="138" t="n"/>
      <c r="E4" s="138" t="n"/>
      <c r="F4" s="138" t="n"/>
      <c r="G4" s="140" t="inlineStr">
        <is>
          <t xml:space="preserve">Invoice No : </t>
        </is>
      </c>
      <c r="H4" s="139" t="n"/>
      <c r="I4" s="141" t="inlineStr">
        <is>
          <t>Date :</t>
        </is>
      </c>
      <c r="J4" s="139" t="n"/>
    </row>
    <row r="5" ht="16.5" customHeight="1" thickBot="1">
      <c r="A5" s="85" t="inlineStr">
        <is>
          <t>1-16, Main Road,Lakshmipuram, Near MilkProject Opp</t>
        </is>
      </c>
      <c r="G5" s="142" t="n"/>
      <c r="H5" s="143" t="n"/>
      <c r="I5" s="142" t="n"/>
      <c r="J5" s="143" t="n"/>
    </row>
    <row r="6" ht="18.75" customHeight="1">
      <c r="A6" s="87" t="inlineStr">
        <is>
          <t>TIRUVURU-521235, Krishna District, A.P</t>
        </is>
      </c>
      <c r="G6" s="144" t="inlineStr">
        <is>
          <t xml:space="preserve">Supplier's Ref  :      </t>
        </is>
      </c>
      <c r="H6" s="139" t="n"/>
      <c r="I6" s="141" t="inlineStr">
        <is>
          <t>Mode of Payment</t>
        </is>
      </c>
      <c r="J6" s="139" t="n"/>
    </row>
    <row r="7" ht="19.5" customHeight="1" thickBot="1">
      <c r="A7" s="87" t="inlineStr">
        <is>
          <t>GSTIN: 37BSHPG6211M1ZL</t>
        </is>
      </c>
      <c r="G7" s="142" t="n"/>
      <c r="H7" s="143" t="n"/>
      <c r="I7" s="142" t="n"/>
      <c r="J7" s="143" t="n"/>
      <c r="L7" s="27" t="n"/>
      <c r="M7" s="27" t="n"/>
      <c r="N7" s="27" t="n"/>
    </row>
    <row r="8" ht="18.75" customHeight="1">
      <c r="A8" s="87" t="inlineStr">
        <is>
          <t>Phone : 9440481826,9398391992</t>
        </is>
      </c>
      <c r="G8" s="144" t="inlineStr">
        <is>
          <t>Despatch Document No</t>
        </is>
      </c>
      <c r="H8" s="139" t="n"/>
      <c r="I8" s="141" t="inlineStr">
        <is>
          <t>Delivery Note Date</t>
        </is>
      </c>
      <c r="J8" s="139" t="n"/>
    </row>
    <row r="9" ht="19.5" customHeight="1" thickBot="1">
      <c r="A9" s="112" t="inlineStr">
        <is>
          <t>E-mail: lakshmipuramsrinubabu@gmail.com</t>
        </is>
      </c>
      <c r="B9" s="145" t="n"/>
      <c r="C9" s="145" t="n"/>
      <c r="D9" s="145" t="n"/>
      <c r="E9" s="145" t="n"/>
      <c r="F9" s="145" t="n"/>
      <c r="G9" s="142" t="n"/>
      <c r="H9" s="143" t="n"/>
      <c r="I9" s="142" t="n"/>
      <c r="J9" s="143" t="n"/>
    </row>
    <row r="10" ht="18.75" customHeight="1">
      <c r="A10" s="114" t="inlineStr">
        <is>
          <t>Buyer</t>
        </is>
      </c>
      <c r="B10" s="138" t="n"/>
      <c r="C10" s="138" t="n"/>
      <c r="D10" s="138" t="n"/>
      <c r="E10" s="138" t="n"/>
      <c r="F10" s="138" t="n"/>
      <c r="G10" s="141" t="inlineStr">
        <is>
          <t>Despatch through</t>
        </is>
      </c>
      <c r="H10" s="139" t="n"/>
      <c r="I10" s="141" t="n"/>
      <c r="J10" s="139" t="n"/>
    </row>
    <row r="11" ht="19.5" customHeight="1" thickBot="1">
      <c r="A11" s="87" t="n"/>
      <c r="G11" s="142" t="n"/>
      <c r="H11" s="143" t="n"/>
      <c r="I11" s="142" t="n"/>
      <c r="J11" s="143" t="n"/>
    </row>
    <row r="12" ht="15.75" customHeight="1">
      <c r="A12" s="85" t="n"/>
      <c r="G12" s="146" t="inlineStr">
        <is>
          <t xml:space="preserve">Terms of Delivery </t>
        </is>
      </c>
      <c r="H12" s="138" t="n"/>
      <c r="I12" s="138" t="n"/>
      <c r="J12" s="139" t="n"/>
    </row>
    <row r="13" ht="15.75" customHeight="1">
      <c r="A13" s="85" t="n"/>
      <c r="G13" s="147" t="n"/>
      <c r="J13" s="148" t="n"/>
    </row>
    <row r="14" ht="22.7" customHeight="1">
      <c r="A14" s="87" t="n"/>
      <c r="G14" s="149" t="n"/>
      <c r="J14" s="148" t="n"/>
    </row>
    <row r="15" ht="21.75" customHeight="1">
      <c r="A15" s="87" t="n"/>
      <c r="G15" s="149" t="n"/>
      <c r="J15" s="148" t="n"/>
    </row>
    <row r="16" ht="19.5" customHeight="1" thickBot="1">
      <c r="A16" s="87" t="n"/>
      <c r="G16" s="150" t="n"/>
      <c r="J16" s="148" t="n"/>
    </row>
    <row r="17" ht="19.15" customHeight="1" thickBot="1">
      <c r="A17" s="18" t="inlineStr">
        <is>
          <t>S.NO</t>
        </is>
      </c>
      <c r="B17" s="49" t="inlineStr">
        <is>
          <t>PARTICULARS OF GOODS</t>
        </is>
      </c>
      <c r="C17" s="151" t="n"/>
      <c r="D17" s="151" t="n"/>
      <c r="E17" s="151" t="n"/>
      <c r="F17" s="152" t="n"/>
      <c r="G17" s="48" t="inlineStr">
        <is>
          <t>HSN CODE</t>
        </is>
      </c>
      <c r="H17" s="15" t="inlineStr">
        <is>
          <t>QTY</t>
        </is>
      </c>
      <c r="I17" s="16" t="inlineStr">
        <is>
          <t>RATE</t>
        </is>
      </c>
      <c r="J17" s="17" t="inlineStr">
        <is>
          <t>AMOUNT</t>
        </is>
      </c>
    </row>
    <row r="18" ht="19.5" customHeight="1" thickBot="1">
      <c r="A18" s="13" t="n">
        <v>1</v>
      </c>
      <c r="B18" s="153" t="n"/>
      <c r="C18" s="151" t="n"/>
      <c r="D18" s="151" t="n"/>
      <c r="E18" s="151" t="n"/>
      <c r="F18" s="152" t="n"/>
      <c r="G18" s="71" t="n">
        <v>87019200</v>
      </c>
      <c r="H18" s="39" t="n">
        <v>1</v>
      </c>
      <c r="I18" s="154" t="n"/>
      <c r="J18" s="155">
        <f>I18</f>
        <v/>
      </c>
    </row>
    <row r="19" ht="18.75" customHeight="1">
      <c r="A19" s="1" t="n"/>
      <c r="B19" s="61" t="n"/>
      <c r="G19" s="39" t="n"/>
      <c r="H19" s="39" t="n"/>
      <c r="I19" s="156" t="n"/>
      <c r="J19" s="156" t="n"/>
    </row>
    <row r="20" ht="18.75" customHeight="1">
      <c r="A20" s="1" t="n"/>
      <c r="B20" s="61" t="n"/>
      <c r="C20" s="62" t="n"/>
      <c r="D20" s="62" t="n"/>
      <c r="E20" s="62" t="n"/>
      <c r="F20" s="62" t="n"/>
      <c r="G20" s="41" t="n"/>
      <c r="H20" s="41" t="n"/>
      <c r="I20" s="157" t="n"/>
      <c r="J20" s="157" t="n"/>
    </row>
    <row r="21" ht="18.75" customHeight="1">
      <c r="A21" s="1" t="n"/>
      <c r="B21" s="61" t="n"/>
      <c r="C21" s="62" t="n"/>
      <c r="D21" s="62" t="n"/>
      <c r="E21" s="62" t="n"/>
      <c r="F21" s="62" t="n"/>
      <c r="G21" s="41" t="n"/>
      <c r="H21" s="41" t="n"/>
      <c r="I21" s="157" t="n"/>
      <c r="J21" s="157" t="n"/>
    </row>
    <row r="22" ht="18.75" customHeight="1">
      <c r="A22" s="1" t="n"/>
      <c r="B22" s="61" t="n"/>
      <c r="C22" s="62" t="n"/>
      <c r="D22" s="62" t="n"/>
      <c r="E22" s="62" t="n"/>
      <c r="F22" s="62" t="n"/>
      <c r="G22" s="41" t="n"/>
      <c r="H22" s="41" t="n"/>
      <c r="I22" s="157" t="n"/>
      <c r="J22" s="157" t="n"/>
    </row>
    <row r="23" ht="18.75" customHeight="1">
      <c r="A23" s="1" t="n"/>
      <c r="B23" s="61" t="n"/>
      <c r="C23" s="62" t="n"/>
      <c r="D23" s="62" t="n"/>
      <c r="E23" s="62" t="n"/>
      <c r="F23" s="62" t="n"/>
      <c r="G23" s="41" t="n"/>
      <c r="H23" s="41" t="n"/>
      <c r="I23" s="157" t="n"/>
      <c r="J23" s="157" t="n"/>
    </row>
    <row r="24" ht="18.75" customHeight="1">
      <c r="A24" s="1" t="n"/>
      <c r="B24" s="61" t="n"/>
      <c r="C24" s="62" t="n"/>
      <c r="D24" s="62" t="n"/>
      <c r="E24" s="62" t="n"/>
      <c r="F24" s="62" t="n"/>
      <c r="G24" s="41" t="n"/>
      <c r="H24" s="41" t="n"/>
      <c r="I24" s="157" t="n"/>
      <c r="J24" s="157" t="n"/>
    </row>
    <row r="25" ht="18.75" customHeight="1">
      <c r="A25" s="1" t="n"/>
      <c r="B25" s="61" t="n"/>
      <c r="C25" s="62" t="n"/>
      <c r="D25" s="62" t="n"/>
      <c r="E25" s="62" t="n"/>
      <c r="F25" s="62" t="n"/>
      <c r="G25" s="41" t="n"/>
      <c r="H25" s="41" t="n"/>
      <c r="I25" s="157" t="n"/>
      <c r="J25" s="157" t="n"/>
    </row>
    <row r="26" ht="18.75" customHeight="1">
      <c r="A26" s="1" t="n"/>
      <c r="B26" s="110" t="n"/>
      <c r="G26" s="41" t="n"/>
      <c r="H26" s="41" t="n"/>
      <c r="I26" s="42" t="n"/>
      <c r="J26" s="45" t="n"/>
    </row>
    <row r="27">
      <c r="A27" s="1" t="n"/>
      <c r="B27" s="1" t="n"/>
      <c r="C27" s="2" t="n"/>
      <c r="D27" s="2" t="n"/>
      <c r="E27" s="2" t="n"/>
      <c r="F27" s="2" t="n"/>
      <c r="G27" s="42" t="n"/>
      <c r="H27" s="42" t="n"/>
      <c r="I27" s="42" t="n"/>
      <c r="J27" s="42" t="n"/>
    </row>
    <row r="28">
      <c r="A28" s="1" t="n"/>
      <c r="B28" s="1" t="n"/>
      <c r="C28" s="2" t="n"/>
      <c r="D28" s="2" t="n"/>
      <c r="E28" s="2" t="n"/>
      <c r="F28" s="2" t="n"/>
      <c r="G28" s="42" t="n"/>
      <c r="H28" s="42" t="n"/>
      <c r="I28" s="42" t="n"/>
      <c r="J28" s="42" t="n"/>
    </row>
    <row r="29">
      <c r="A29" s="1" t="n"/>
      <c r="B29" s="1" t="n"/>
      <c r="C29" s="2" t="n"/>
      <c r="D29" s="2" t="n"/>
      <c r="E29" s="2" t="n"/>
      <c r="F29" s="2" t="n"/>
      <c r="G29" s="42" t="n"/>
      <c r="H29" s="42" t="n"/>
      <c r="I29" s="42" t="n"/>
      <c r="J29" s="42" t="n"/>
    </row>
    <row r="30">
      <c r="A30" s="1" t="n"/>
      <c r="B30" s="1" t="n"/>
      <c r="C30" s="2" t="n"/>
      <c r="D30" s="2" t="n"/>
      <c r="E30" s="2" t="n"/>
      <c r="F30" s="2" t="n"/>
      <c r="G30" s="42" t="n"/>
      <c r="H30" s="42" t="n"/>
      <c r="I30" s="42" t="n"/>
      <c r="J30" s="42" t="n"/>
    </row>
    <row r="31">
      <c r="A31" s="1" t="n"/>
      <c r="B31" s="1" t="n"/>
      <c r="C31" s="2" t="n"/>
      <c r="D31" s="2" t="n"/>
      <c r="E31" s="2" t="n"/>
      <c r="F31" s="2" t="n"/>
      <c r="G31" s="42" t="n"/>
      <c r="H31" s="42" t="n"/>
      <c r="I31" s="42" t="n"/>
      <c r="J31" s="42" t="n"/>
    </row>
    <row r="32" ht="15.75" customHeight="1" thickBot="1">
      <c r="A32" s="1" t="n"/>
      <c r="B32" s="1" t="n"/>
      <c r="C32" s="2" t="n"/>
      <c r="D32" s="2" t="n"/>
      <c r="E32" s="2" t="n"/>
      <c r="F32" s="2" t="n"/>
      <c r="G32" s="43" t="n"/>
      <c r="H32" s="43" t="n"/>
      <c r="I32" s="43" t="n"/>
      <c r="J32" s="43" t="n"/>
    </row>
    <row r="33" ht="18.75" customHeight="1">
      <c r="A33" s="1" t="n"/>
      <c r="B33" s="1" t="n"/>
      <c r="C33" s="2" t="n"/>
      <c r="D33" s="2" t="n"/>
      <c r="E33" s="2" t="n"/>
      <c r="F33" s="39" t="inlineStr">
        <is>
          <t>Taxable Value</t>
        </is>
      </c>
      <c r="G33" s="139" t="n"/>
      <c r="H33" s="158" t="n"/>
      <c r="I33" s="159" t="n"/>
      <c r="J33" s="160">
        <f>J18+J19+J26</f>
        <v/>
      </c>
    </row>
    <row r="34" ht="18.75" customHeight="1">
      <c r="A34" s="1" t="n"/>
      <c r="B34" s="1" t="n"/>
      <c r="C34" s="2" t="n"/>
      <c r="D34" s="2" t="n"/>
      <c r="E34" s="2" t="n"/>
      <c r="F34" s="161" t="inlineStr">
        <is>
          <t>CGST</t>
        </is>
      </c>
      <c r="G34" s="159" t="n"/>
      <c r="H34" s="162" t="n">
        <v>2.5</v>
      </c>
      <c r="I34" s="163" t="n"/>
      <c r="J34" s="160">
        <f>J33*2.5%</f>
        <v/>
      </c>
    </row>
    <row r="35" ht="19.5" customHeight="1" thickBot="1">
      <c r="A35" s="1" t="n"/>
      <c r="B35" s="87" t="n"/>
      <c r="C35" s="88" t="n"/>
      <c r="D35" s="88" t="n"/>
      <c r="E35" s="88" t="n"/>
      <c r="F35" s="164" t="inlineStr">
        <is>
          <t>SGST</t>
        </is>
      </c>
      <c r="G35" s="165" t="n"/>
      <c r="H35" s="166" t="n">
        <v>2.5</v>
      </c>
      <c r="I35" s="165" t="n"/>
      <c r="J35" s="167">
        <f>J33*2.5%</f>
        <v/>
      </c>
    </row>
    <row r="36" ht="37.35" customHeight="1" thickBot="1">
      <c r="A36" s="4" t="n"/>
      <c r="B36" s="19" t="inlineStr">
        <is>
          <t xml:space="preserve">  TOTAL</t>
        </is>
      </c>
      <c r="C36" s="20" t="n"/>
      <c r="D36" s="20" t="n"/>
      <c r="E36" s="20" t="n"/>
      <c r="F36" s="75" t="inlineStr">
        <is>
          <t>Total Invoice Value:-</t>
        </is>
      </c>
      <c r="G36" s="151" t="n"/>
      <c r="H36" s="19" t="n"/>
      <c r="I36" s="21" t="n"/>
      <c r="J36" s="168">
        <f>SUM(J33:J35)</f>
        <v/>
      </c>
    </row>
    <row r="37" ht="43.5" customHeight="1" thickBot="1">
      <c r="A37" s="169" t="inlineStr">
        <is>
          <t>Amount Chargeable ( in Words ) Ten Lakh Fifty Seven  Thousand Rupees Only</t>
        </is>
      </c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9" t="n"/>
    </row>
    <row r="38" ht="15.75" customHeight="1">
      <c r="A38" s="170" t="inlineStr">
        <is>
          <t>Hsn Code</t>
        </is>
      </c>
      <c r="B38" s="138" t="n"/>
      <c r="C38" s="138" t="n"/>
      <c r="D38" s="138" t="n"/>
      <c r="E38" s="69" t="inlineStr">
        <is>
          <t>Taxable value</t>
        </is>
      </c>
      <c r="F38" s="171" t="n"/>
      <c r="G38" s="31" t="inlineStr">
        <is>
          <t>CGST 2.5%</t>
        </is>
      </c>
      <c r="H38" s="65" t="inlineStr">
        <is>
          <t>SGST2.5%</t>
        </is>
      </c>
      <c r="I38" s="172" t="n"/>
      <c r="J38" s="28" t="inlineStr">
        <is>
          <t>Total</t>
        </is>
      </c>
    </row>
    <row r="39" ht="15.75" customHeight="1">
      <c r="A39" s="173" t="n"/>
      <c r="B39" s="174" t="n"/>
      <c r="C39" s="174" t="n"/>
      <c r="D39" s="174" t="n"/>
      <c r="E39" s="175" t="n"/>
      <c r="F39" s="176" t="n"/>
      <c r="G39" s="32" t="inlineStr">
        <is>
          <t>TAX</t>
        </is>
      </c>
      <c r="H39" s="67" t="inlineStr">
        <is>
          <t>TAX</t>
        </is>
      </c>
      <c r="I39" s="177" t="n"/>
      <c r="J39" s="35" t="n"/>
    </row>
    <row r="40" ht="18.75" customHeight="1">
      <c r="A40" s="131" t="n">
        <v>87019200</v>
      </c>
      <c r="B40" s="178" t="n"/>
      <c r="C40" s="178" t="n"/>
      <c r="D40" s="178" t="n"/>
      <c r="E40" s="179">
        <f>J18</f>
        <v/>
      </c>
      <c r="F40" s="177" t="n"/>
      <c r="G40" s="180">
        <f>J34</f>
        <v/>
      </c>
      <c r="H40" s="181">
        <f>J35</f>
        <v/>
      </c>
      <c r="I40" s="177" t="n"/>
      <c r="J40" s="182">
        <f>E40+G40+H40</f>
        <v/>
      </c>
    </row>
    <row r="41" ht="12.2" customHeight="1">
      <c r="A41" s="23" t="n"/>
      <c r="B41" s="24" t="n"/>
      <c r="C41" s="24" t="n"/>
      <c r="D41" s="24" t="n"/>
      <c r="E41" s="179" t="n"/>
      <c r="F41" s="177" t="n"/>
      <c r="G41" s="183" t="n"/>
      <c r="H41" s="162" t="n"/>
      <c r="I41" s="163" t="n"/>
      <c r="J41" s="182" t="n"/>
    </row>
    <row r="42" ht="21.75" customHeight="1" thickBot="1">
      <c r="A42" s="133" t="inlineStr">
        <is>
          <t>Total</t>
        </is>
      </c>
      <c r="B42" s="184" t="n"/>
      <c r="C42" s="184" t="n"/>
      <c r="D42" s="184" t="n"/>
      <c r="E42" s="185">
        <f>SUM(E40:E41)</f>
        <v/>
      </c>
      <c r="F42" s="186" t="n"/>
      <c r="G42" s="187">
        <f>SUM(G40:G41)</f>
        <v/>
      </c>
      <c r="H42" s="188">
        <f>SUM(H40:H41)</f>
        <v/>
      </c>
      <c r="I42" s="186" t="n"/>
      <c r="J42" s="189">
        <f>SUM(J40:J41)</f>
        <v/>
      </c>
    </row>
    <row r="43" ht="16.5" customHeight="1" thickBot="1">
      <c r="A43" s="190" t="inlineStr">
        <is>
          <t>RUPEES FIFTY THOUSAND THREE HUNDRED THIRTY THREE AND THIRTY FOUR PAISE ONLY</t>
        </is>
      </c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2" t="n"/>
    </row>
    <row r="44" ht="16.35" customHeight="1">
      <c r="A44" s="11" t="inlineStr">
        <is>
          <t xml:space="preserve">                                                                                                                           For SRI MANIKANTA SWAMY AGROS</t>
        </is>
      </c>
      <c r="B44" s="12" t="n"/>
      <c r="C44" s="12" t="n"/>
      <c r="D44" s="12" t="n"/>
      <c r="E44" s="12" t="n"/>
      <c r="F44" s="12" t="n"/>
      <c r="G44" s="119" t="inlineStr">
        <is>
          <t>SRI MANIKANTA SWAMY AGROS</t>
        </is>
      </c>
      <c r="H44" s="138" t="n"/>
      <c r="I44" s="138" t="n"/>
      <c r="J44" s="139" t="n"/>
      <c r="K44" s="26" t="n"/>
      <c r="L44" s="26" t="n"/>
    </row>
    <row r="45" hidden="1" ht="15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</row>
    <row r="46" hidden="1" ht="15" customHeight="1">
      <c r="A46" s="1" t="n"/>
      <c r="B46" s="2" t="n"/>
      <c r="C46" s="2" t="n"/>
      <c r="D46" s="2" t="n"/>
      <c r="E46" s="2" t="n"/>
      <c r="F46" s="2" t="n"/>
      <c r="G46" s="2" t="n"/>
      <c r="H46" s="10" t="n"/>
      <c r="I46" s="10" t="n"/>
      <c r="J46" s="3" t="n"/>
    </row>
    <row r="47" hidden="1" ht="15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</row>
    <row r="48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</row>
    <row r="50" ht="16.5" customHeight="1" thickBot="1">
      <c r="A50" s="9" t="inlineStr">
        <is>
          <t xml:space="preserve">                                                                                                                                                                Authorised Signatory</t>
        </is>
      </c>
      <c r="B50" s="10" t="n"/>
      <c r="C50" s="10" t="n"/>
      <c r="D50" s="10" t="n"/>
      <c r="E50" s="10" t="n"/>
      <c r="F50" s="10" t="n"/>
      <c r="G50" s="117" t="inlineStr">
        <is>
          <t>Authorised Signatory</t>
        </is>
      </c>
      <c r="H50" s="145" t="n"/>
      <c r="I50" s="145" t="n"/>
      <c r="J50" s="143" t="n"/>
    </row>
  </sheetData>
  <mergeCells count="53">
    <mergeCell ref="A16:F16"/>
    <mergeCell ref="H35:I35"/>
    <mergeCell ref="H38:I38"/>
    <mergeCell ref="G6:H7"/>
    <mergeCell ref="F34:G34"/>
    <mergeCell ref="E42:F42"/>
    <mergeCell ref="H41:I41"/>
    <mergeCell ref="G16:J16"/>
    <mergeCell ref="A43:J43"/>
    <mergeCell ref="A12:F12"/>
    <mergeCell ref="I8:J9"/>
    <mergeCell ref="H40:I40"/>
    <mergeCell ref="B18:F18"/>
    <mergeCell ref="G50:J50"/>
    <mergeCell ref="G44:J44"/>
    <mergeCell ref="H39:I39"/>
    <mergeCell ref="A40:D40"/>
    <mergeCell ref="H34:I34"/>
    <mergeCell ref="G4:H5"/>
    <mergeCell ref="I4:J5"/>
    <mergeCell ref="A14:F14"/>
    <mergeCell ref="A5:F5"/>
    <mergeCell ref="I10:J11"/>
    <mergeCell ref="A8:F8"/>
    <mergeCell ref="F33:G33"/>
    <mergeCell ref="F36:G36"/>
    <mergeCell ref="A4:F4"/>
    <mergeCell ref="E40:F40"/>
    <mergeCell ref="B17:F17"/>
    <mergeCell ref="F35:G35"/>
    <mergeCell ref="A10:F10"/>
    <mergeCell ref="A13:F13"/>
    <mergeCell ref="I6:J7"/>
    <mergeCell ref="A9:F9"/>
    <mergeCell ref="B19:F19"/>
    <mergeCell ref="G8:H9"/>
    <mergeCell ref="A15:F15"/>
    <mergeCell ref="A11:F11"/>
    <mergeCell ref="A37:J37"/>
    <mergeCell ref="A38:D39"/>
    <mergeCell ref="H42:I42"/>
    <mergeCell ref="E41:F41"/>
    <mergeCell ref="A3:J3"/>
    <mergeCell ref="H33:I33"/>
    <mergeCell ref="G10:H11"/>
    <mergeCell ref="A6:F6"/>
    <mergeCell ref="G12:J13"/>
    <mergeCell ref="G15:J15"/>
    <mergeCell ref="E38:F39"/>
    <mergeCell ref="A42:D42"/>
    <mergeCell ref="B26:F26"/>
    <mergeCell ref="A7:F7"/>
    <mergeCell ref="G14:J14"/>
  </mergeCells>
  <pageMargins left="0.3149606299212598" right="0" top="1.21" bottom="0.3543307086614174" header="1.57" footer="0.3149606299212598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SRI MANIKANTA SWAMY AGRI FARM</dc:creator>
  <dcterms:created xmlns:dcterms="http://purl.org/dc/terms/" xmlns:xsi="http://www.w3.org/2001/XMLSchema-instance" xsi:type="dcterms:W3CDTF">2022-02-16T09:06:50Z</dcterms:created>
  <dcterms:modified xmlns:dcterms="http://purl.org/dc/terms/" xmlns:xsi="http://www.w3.org/2001/XMLSchema-instance" xsi:type="dcterms:W3CDTF">2026-10-12T04:55:54Z</dcterms:modified>
  <cp:lastModifiedBy>SRI MANIKANTA SWAMY AGRI FARM</cp:lastModifiedBy>
  <cp:lastPrinted>2026-03-26T12:45:30Z</cp:lastPrinted>
</cp:coreProperties>
</file>